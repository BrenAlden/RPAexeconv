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nternship.bren\Documents\Bren Alden\RPA Project\2. RPA Budget Consumption\Output RPA Budget Consumption\Preference\"/>
    </mc:Choice>
  </mc:AlternateContent>
  <xr:revisionPtr revIDLastSave="0" documentId="13_ncr:1_{A41A9D18-73DF-47B8-BC62-8E786B95C734}" xr6:coauthVersionLast="47" xr6:coauthVersionMax="47" xr10:uidLastSave="{00000000-0000-0000-0000-000000000000}"/>
  <bookViews>
    <workbookView xWindow="-110" yWindow="-110" windowWidth="19420" windowHeight="10300" xr2:uid="{54FD7183-4E0A-4D20-A74B-8484162EDFA9}"/>
  </bookViews>
  <sheets>
    <sheet name="MASTER DIVGROUP15" sheetId="3" r:id="rId1"/>
    <sheet name="Sheet1" sheetId="4" r:id="rId2"/>
  </sheets>
  <definedNames>
    <definedName name="_xlnm._FilterDatabase" localSheetId="0" hidden="1">'MASTER DIVGROUP15'!$B$1:$C$45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4" l="1" a="1"/>
  <c r="C37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8" i="4"/>
  <c r="C39" i="4"/>
  <c r="C40" i="4"/>
  <c r="C41" i="4"/>
  <c r="C42" i="4"/>
  <c r="C43" i="4"/>
  <c r="C44" i="4"/>
  <c r="C45" i="4"/>
  <c r="C2" i="4"/>
  <c r="C10" i="3" l="1"/>
  <c r="C3" i="3"/>
  <c r="C2" i="3"/>
  <c r="C1" i="3"/>
  <c r="C4" i="3"/>
  <c r="C5" i="3"/>
  <c r="C6" i="3"/>
  <c r="C7" i="3"/>
  <c r="C8" i="3"/>
  <c r="C9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<sst xmlns="http://schemas.openxmlformats.org/spreadsheetml/2006/main" count="296" uniqueCount="139">
  <si>
    <t>ALL</t>
  </si>
  <si>
    <t>ADMIN</t>
  </si>
  <si>
    <t>OPEX-ACCON</t>
  </si>
  <si>
    <t>ADEC</t>
  </si>
  <si>
    <t>OPEX-SERTE</t>
  </si>
  <si>
    <t>OPEX-BO</t>
  </si>
  <si>
    <t>CASTING_15</t>
  </si>
  <si>
    <t>COMPLIANCE</t>
  </si>
  <si>
    <t>OPEX-CORCM</t>
  </si>
  <si>
    <t>CIT-ADM</t>
  </si>
  <si>
    <t>OPEX-CORPL</t>
  </si>
  <si>
    <t>OPEX-CORF</t>
  </si>
  <si>
    <t>RND-ADM</t>
  </si>
  <si>
    <t>OPEX-DM</t>
  </si>
  <si>
    <t>ENGINE_15</t>
  </si>
  <si>
    <t>OPEX-EXIMP</t>
  </si>
  <si>
    <t>FIN-ADM</t>
  </si>
  <si>
    <t>GAD-ADM</t>
  </si>
  <si>
    <t>HRD-ADM</t>
  </si>
  <si>
    <t>OPEX-INT_A</t>
  </si>
  <si>
    <t>OPEX-MPP</t>
  </si>
  <si>
    <t>PCL</t>
  </si>
  <si>
    <t>PE-ADM</t>
  </si>
  <si>
    <t>OPEX-PURCH</t>
  </si>
  <si>
    <t>QA_ALL</t>
  </si>
  <si>
    <t>Q_CTRL</t>
  </si>
  <si>
    <t>SPD</t>
  </si>
  <si>
    <t>OPEX-PURSN</t>
  </si>
  <si>
    <t>Group1</t>
  </si>
  <si>
    <t>Group1_Text</t>
  </si>
  <si>
    <t xml:space="preserve">COPY TO ROLE </t>
  </si>
  <si>
    <t>CATEGORY</t>
  </si>
  <si>
    <t xml:space="preserve">OPEX-ACCON              </t>
  </si>
  <si>
    <t>ACCOUNTING &amp; CONTROL</t>
  </si>
  <si>
    <t>BY SYSTEM</t>
  </si>
  <si>
    <t xml:space="preserve">OPEX-SERTE              </t>
  </si>
  <si>
    <t>AFTER SALES SERVICE MANAGEMENT</t>
  </si>
  <si>
    <t xml:space="preserve">ASSY1                   </t>
  </si>
  <si>
    <t>ASSY1</t>
  </si>
  <si>
    <t xml:space="preserve">ASSY2                   </t>
  </si>
  <si>
    <t>ASSY2</t>
  </si>
  <si>
    <t xml:space="preserve">ADEC                    </t>
  </si>
  <si>
    <t xml:space="preserve">OPEX-BOD                </t>
  </si>
  <si>
    <t>BOARD OF DIRECTOR</t>
  </si>
  <si>
    <t>OPEX-BOD</t>
  </si>
  <si>
    <t xml:space="preserve">BODY1                   </t>
  </si>
  <si>
    <t>BODY1</t>
  </si>
  <si>
    <t xml:space="preserve">BODY2                   </t>
  </si>
  <si>
    <t>BODY2</t>
  </si>
  <si>
    <t xml:space="preserve">OPEX-BO                 </t>
  </si>
  <si>
    <t>BUSINESS OPERATION</t>
  </si>
  <si>
    <t xml:space="preserve">CASTING_15              </t>
  </si>
  <si>
    <t>CASTING</t>
  </si>
  <si>
    <t xml:space="preserve">COMPLIANCE              </t>
  </si>
  <si>
    <t xml:space="preserve">OPEX-CORCM              </t>
  </si>
  <si>
    <t>CORPORATE COMMUNICATION</t>
  </si>
  <si>
    <t xml:space="preserve">CIT-ADM                 </t>
  </si>
  <si>
    <t>CORPORATE INFORMATION TECHNOLOGY</t>
  </si>
  <si>
    <t xml:space="preserve">OPEX-CORPL              </t>
  </si>
  <si>
    <t>CORPORATE PLANNING</t>
  </si>
  <si>
    <t xml:space="preserve">OPEX-CORF               </t>
  </si>
  <si>
    <t>CORPORATE SUSTAINIBILITY</t>
  </si>
  <si>
    <t xml:space="preserve">OPEX-CSVC               </t>
  </si>
  <si>
    <t>CS &amp; VALUE CHAIN</t>
  </si>
  <si>
    <t>OPEX-CSVC</t>
  </si>
  <si>
    <t xml:space="preserve">OPEX-DM                 </t>
  </si>
  <si>
    <t>DOMESTIC MARKETING</t>
  </si>
  <si>
    <t xml:space="preserve">DORM                    </t>
  </si>
  <si>
    <t>DORMITORY</t>
  </si>
  <si>
    <t>DORM</t>
  </si>
  <si>
    <t xml:space="preserve">ENGINE_15               </t>
  </si>
  <si>
    <t>ENGINE</t>
  </si>
  <si>
    <t xml:space="preserve">OPEX-EXIMP              </t>
  </si>
  <si>
    <t>EXPORT IMPORT</t>
  </si>
  <si>
    <t xml:space="preserve">FIN-ADM                 </t>
  </si>
  <si>
    <t>FINANCE</t>
  </si>
  <si>
    <t xml:space="preserve">GAD-ADM                 </t>
  </si>
  <si>
    <t>GENERAL AFFAIR</t>
  </si>
  <si>
    <t xml:space="preserve">HRD-ADM                 </t>
  </si>
  <si>
    <t>HUMAN RESOURCES</t>
  </si>
  <si>
    <t xml:space="preserve">OPEX-INT_A              </t>
  </si>
  <si>
    <t xml:space="preserve">KAP_15                  </t>
  </si>
  <si>
    <t>KAP PRODUCTION</t>
  </si>
  <si>
    <t>KAP_15</t>
  </si>
  <si>
    <t xml:space="preserve">KAP2                    </t>
  </si>
  <si>
    <t>KAP2</t>
  </si>
  <si>
    <t xml:space="preserve">OPEX-MPP                </t>
  </si>
  <si>
    <t xml:space="preserve">PRJCT-ADM               </t>
  </si>
  <si>
    <t>OPEX &amp; FOH PROJECT</t>
  </si>
  <si>
    <t>PRJCT-ADM</t>
  </si>
  <si>
    <t xml:space="preserve">PAINT1                  </t>
  </si>
  <si>
    <t>PAINT1</t>
  </si>
  <si>
    <t xml:space="preserve">PAINT2                  </t>
  </si>
  <si>
    <t>PAINT2</t>
  </si>
  <si>
    <t xml:space="preserve">PRESS_15                </t>
  </si>
  <si>
    <t>PRESS_15</t>
  </si>
  <si>
    <t xml:space="preserve">OPEX-PURCH              </t>
  </si>
  <si>
    <t>PURCHASING</t>
  </si>
  <si>
    <t xml:space="preserve">RND-ADM                 </t>
  </si>
  <si>
    <t xml:space="preserve">MTNSPA                  </t>
  </si>
  <si>
    <t>MTNSPA</t>
  </si>
  <si>
    <t xml:space="preserve">MTNSPB                  </t>
  </si>
  <si>
    <t>MTNSPB</t>
  </si>
  <si>
    <t xml:space="preserve">PPC_LOGIST              </t>
  </si>
  <si>
    <t>SAP PLANT ADMINISTRATION</t>
  </si>
  <si>
    <t>PPC_LOGIST</t>
  </si>
  <si>
    <t xml:space="preserve">PCL                     </t>
  </si>
  <si>
    <t>SAP PRODUCTION CONTROL</t>
  </si>
  <si>
    <t xml:space="preserve">PE-ADM                  </t>
  </si>
  <si>
    <t>SAP PRODUCTION ENGINEERING</t>
  </si>
  <si>
    <t xml:space="preserve">Q_CTRL                  </t>
  </si>
  <si>
    <t>SAP QUALITY</t>
  </si>
  <si>
    <t xml:space="preserve">QA_ALL                  </t>
  </si>
  <si>
    <t>SAP QUALITY ASSURANCE</t>
  </si>
  <si>
    <t xml:space="preserve">SPD                     </t>
  </si>
  <si>
    <t>SERVICE PARTS</t>
  </si>
  <si>
    <t xml:space="preserve">OPEX-PURSN              </t>
  </si>
  <si>
    <t>SUPPLIER NETWORK</t>
  </si>
  <si>
    <t xml:space="preserve">THAI                    </t>
  </si>
  <si>
    <t>THAILAND REPRESENTATIVES OFFICE</t>
  </si>
  <si>
    <t>THAI</t>
  </si>
  <si>
    <t xml:space="preserve">VLC                     </t>
  </si>
  <si>
    <t>VLC</t>
  </si>
  <si>
    <t>CASE BY CASE</t>
  </si>
  <si>
    <t>SAP PRESS &amp; BODY</t>
  </si>
  <si>
    <t>SAP PAINT &amp; ASSY</t>
  </si>
  <si>
    <t>R&amp;D</t>
  </si>
  <si>
    <t>ADM EDUCATION CENTER</t>
  </si>
  <si>
    <t>INTERNAL AUDIT &amp; RISK MANAGEMENT</t>
  </si>
  <si>
    <t>KAP PAINT &amp; ASSY</t>
  </si>
  <si>
    <t>KAP PLANT ADMINISTRATION</t>
  </si>
  <si>
    <t>KAP PRESS &amp; BODY</t>
  </si>
  <si>
    <t>KAP QUALITY</t>
  </si>
  <si>
    <t>MARKETING &amp; PRODUCT PLANNING</t>
  </si>
  <si>
    <t xml:space="preserve">SAP PLANT ADMINISTRATION </t>
  </si>
  <si>
    <t>KAPPNTASSY</t>
  </si>
  <si>
    <t>KAPPLNTADM</t>
  </si>
  <si>
    <t>KAPPRSBDY</t>
  </si>
  <si>
    <t>KAPQUALITY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</si>
</sst>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164" fontId="3" fillId="0" borderId="1" xfId="1" applyNumberFormat="1" applyFont="1" applyFill="1" applyBorder="1" applyAlignment="1">
      <alignment horizontal="left" vertical="center"/>
    </xf>
    <xf numFmtId="164" fontId="3" fillId="0" borderId="2" xfId="1" applyNumberFormat="1" applyFont="1" applyFill="1" applyBorder="1" applyAlignment="1">
      <alignment horizontal="left" vertical="center"/>
    </xf>
    <xf numFmtId="0" fontId="0" fillId="0" borderId="0" xfId="0" applyFill="1"/>
    <xf numFmtId="0" fontId="0" fillId="3" borderId="0" xfId="0" applyFill="1" applyAlignment="1">
      <alignment horizontal="center" vertical="center"/>
    </xf>
    <xf numFmtId="0" fontId="4" fillId="0" borderId="0" xfId="0" applyFont="1"/>
    <xf numFmtId="0" fontId="4" fillId="3" borderId="0" xfId="0" applyFont="1" applyFill="1"/>
  </cellXfs>
  <cellStyles count="2">
    <cellStyle name="Comma 2 2" xfId="1" xr:uid="{D8C498CB-4BF0-4B87-8DD1-27912D535C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9DE6-109E-4604-9BF5-8E8FAFC08AD6}">
  <dimension ref="A1:E49"/>
  <sheetViews>
    <sheetView tabSelected="1" topLeftCell="B2" workbookViewId="0">
      <selection activeCell="B20" sqref="B20"/>
    </sheetView>
  </sheetViews>
  <sheetFormatPr defaultRowHeight="14.5" x14ac:dyDescent="0.35"/>
  <cols>
    <col min="1" max="1" width="18.7265625" hidden="1" customWidth="1"/>
    <col min="2" max="2" width="36.26953125" bestFit="1" customWidth="1"/>
    <col min="3" max="3" width="10.26953125" customWidth="1"/>
    <col min="4" max="4" width="19.54296875" customWidth="1"/>
  </cols>
  <sheetData>
    <row r="1" spans="1:5" x14ac:dyDescent="0.35">
      <c r="A1" s="1" t="s">
        <v>28</v>
      </c>
      <c r="B1" s="1" t="s">
        <v>29</v>
      </c>
      <c r="C1" s="1" t="str">
        <f t="shared" ref="C1:C45" si="0">SUBSTITUTE(A1," ","")</f>
        <v>Group1</v>
      </c>
      <c r="D1" s="1" t="s">
        <v>30</v>
      </c>
      <c r="E1" s="1" t="s">
        <v>31</v>
      </c>
    </row>
    <row r="2" spans="1:5" x14ac:dyDescent="0.35">
      <c r="A2" t="s">
        <v>32</v>
      </c>
      <c r="B2" s="3" t="s">
        <v>33</v>
      </c>
      <c r="C2" t="str">
        <f t="shared" si="0"/>
        <v>OPEX-ACCON</v>
      </c>
      <c r="D2" t="s">
        <v>2</v>
      </c>
      <c r="E2" t="s">
        <v>34</v>
      </c>
    </row>
    <row r="3" spans="1:5" x14ac:dyDescent="0.35">
      <c r="A3" t="s">
        <v>35</v>
      </c>
      <c r="B3" s="3" t="s">
        <v>36</v>
      </c>
      <c r="C3" t="str">
        <f t="shared" si="0"/>
        <v>OPEX-SERTE</v>
      </c>
      <c r="D3" t="s">
        <v>4</v>
      </c>
      <c r="E3" t="s">
        <v>34</v>
      </c>
    </row>
    <row r="4" spans="1:5" x14ac:dyDescent="0.35">
      <c r="A4" t="s">
        <v>37</v>
      </c>
      <c r="B4" s="3" t="s">
        <v>125</v>
      </c>
      <c r="C4" t="str">
        <f t="shared" si="0"/>
        <v>ASSY1</v>
      </c>
      <c r="D4" t="s">
        <v>38</v>
      </c>
      <c r="E4" t="s">
        <v>34</v>
      </c>
    </row>
    <row r="5" spans="1:5" x14ac:dyDescent="0.35">
      <c r="A5" t="s">
        <v>39</v>
      </c>
      <c r="B5" s="3" t="s">
        <v>125</v>
      </c>
      <c r="C5" t="str">
        <f t="shared" si="0"/>
        <v>ASSY2</v>
      </c>
      <c r="D5" t="s">
        <v>40</v>
      </c>
      <c r="E5" t="s">
        <v>34</v>
      </c>
    </row>
    <row r="6" spans="1:5" x14ac:dyDescent="0.35">
      <c r="A6" t="s">
        <v>41</v>
      </c>
      <c r="B6" s="3" t="s">
        <v>127</v>
      </c>
      <c r="C6" t="str">
        <f t="shared" si="0"/>
        <v>ADEC</v>
      </c>
      <c r="D6" t="s">
        <v>3</v>
      </c>
      <c r="E6" t="s">
        <v>34</v>
      </c>
    </row>
    <row r="7" spans="1:5" x14ac:dyDescent="0.35">
      <c r="A7" t="s">
        <v>42</v>
      </c>
      <c r="B7" t="s">
        <v>43</v>
      </c>
      <c r="C7" t="str">
        <f t="shared" si="0"/>
        <v>OPEX-BOD</v>
      </c>
      <c r="D7" t="s">
        <v>44</v>
      </c>
      <c r="E7" t="s">
        <v>34</v>
      </c>
    </row>
    <row r="8" spans="1:5" x14ac:dyDescent="0.35">
      <c r="A8" t="s">
        <v>45</v>
      </c>
      <c r="B8" s="3" t="s">
        <v>124</v>
      </c>
      <c r="C8" t="str">
        <f t="shared" si="0"/>
        <v>BODY1</v>
      </c>
      <c r="D8" t="s">
        <v>46</v>
      </c>
      <c r="E8" t="s">
        <v>34</v>
      </c>
    </row>
    <row r="9" spans="1:5" x14ac:dyDescent="0.35">
      <c r="A9" t="s">
        <v>47</v>
      </c>
      <c r="B9" s="3" t="s">
        <v>124</v>
      </c>
      <c r="C9" t="str">
        <f t="shared" si="0"/>
        <v>BODY2</v>
      </c>
      <c r="D9" t="s">
        <v>48</v>
      </c>
      <c r="E9" t="s">
        <v>34</v>
      </c>
    </row>
    <row r="10" spans="1:5" x14ac:dyDescent="0.35">
      <c r="A10" t="s">
        <v>49</v>
      </c>
      <c r="B10" s="3" t="s">
        <v>50</v>
      </c>
      <c r="C10" t="str">
        <f t="shared" si="0"/>
        <v>OPEX-BO</v>
      </c>
      <c r="D10" t="s">
        <v>5</v>
      </c>
      <c r="E10" t="s">
        <v>34</v>
      </c>
    </row>
    <row r="11" spans="1:5" x14ac:dyDescent="0.35">
      <c r="A11" t="s">
        <v>51</v>
      </c>
      <c r="B11" s="3" t="s">
        <v>52</v>
      </c>
      <c r="C11" t="str">
        <f t="shared" si="0"/>
        <v>CASTING_15</v>
      </c>
      <c r="D11" t="s">
        <v>6</v>
      </c>
      <c r="E11" t="s">
        <v>34</v>
      </c>
    </row>
    <row r="12" spans="1:5" x14ac:dyDescent="0.35">
      <c r="A12" t="s">
        <v>53</v>
      </c>
      <c r="B12" s="3" t="s">
        <v>7</v>
      </c>
      <c r="C12" t="str">
        <f t="shared" si="0"/>
        <v>COMPLIANCE</v>
      </c>
      <c r="D12" t="s">
        <v>7</v>
      </c>
      <c r="E12" t="s">
        <v>34</v>
      </c>
    </row>
    <row r="13" spans="1:5" x14ac:dyDescent="0.35">
      <c r="A13" t="s">
        <v>54</v>
      </c>
      <c r="B13" s="3" t="s">
        <v>55</v>
      </c>
      <c r="C13" t="str">
        <f t="shared" si="0"/>
        <v>OPEX-CORCM</v>
      </c>
      <c r="D13" t="s">
        <v>8</v>
      </c>
      <c r="E13" t="s">
        <v>34</v>
      </c>
    </row>
    <row r="14" spans="1:5" x14ac:dyDescent="0.35">
      <c r="A14" t="s">
        <v>56</v>
      </c>
      <c r="B14" s="3" t="s">
        <v>57</v>
      </c>
      <c r="C14" t="str">
        <f t="shared" si="0"/>
        <v>CIT-ADM</v>
      </c>
      <c r="D14" t="s">
        <v>9</v>
      </c>
      <c r="E14" t="s">
        <v>34</v>
      </c>
    </row>
    <row r="15" spans="1:5" x14ac:dyDescent="0.35">
      <c r="A15" t="s">
        <v>58</v>
      </c>
      <c r="B15" s="3" t="s">
        <v>59</v>
      </c>
      <c r="C15" t="str">
        <f t="shared" si="0"/>
        <v>OPEX-CORPL</v>
      </c>
      <c r="D15" t="s">
        <v>10</v>
      </c>
      <c r="E15" t="s">
        <v>34</v>
      </c>
    </row>
    <row r="16" spans="1:5" x14ac:dyDescent="0.35">
      <c r="A16" t="s">
        <v>60</v>
      </c>
      <c r="B16" s="3" t="s">
        <v>61</v>
      </c>
      <c r="C16" t="str">
        <f t="shared" si="0"/>
        <v>OPEX-CORF</v>
      </c>
      <c r="D16" t="s">
        <v>11</v>
      </c>
      <c r="E16" t="s">
        <v>34</v>
      </c>
    </row>
    <row r="17" spans="1:5" x14ac:dyDescent="0.35">
      <c r="A17" t="s">
        <v>62</v>
      </c>
      <c r="B17" t="s">
        <v>63</v>
      </c>
      <c r="C17" t="str">
        <f t="shared" si="0"/>
        <v>OPEX-CSVC</v>
      </c>
      <c r="D17" t="s">
        <v>64</v>
      </c>
      <c r="E17" t="s">
        <v>34</v>
      </c>
    </row>
    <row r="18" spans="1:5" x14ac:dyDescent="0.35">
      <c r="A18" t="s">
        <v>65</v>
      </c>
      <c r="B18" s="3" t="s">
        <v>66</v>
      </c>
      <c r="C18" t="str">
        <f t="shared" si="0"/>
        <v>OPEX-DM</v>
      </c>
      <c r="D18" t="s">
        <v>13</v>
      </c>
      <c r="E18" t="s">
        <v>34</v>
      </c>
    </row>
    <row r="19" spans="1:5" x14ac:dyDescent="0.35">
      <c r="A19" t="s">
        <v>67</v>
      </c>
      <c r="B19" t="s">
        <v>68</v>
      </c>
      <c r="C19" t="str">
        <f t="shared" si="0"/>
        <v>DORM</v>
      </c>
      <c r="D19" t="s">
        <v>69</v>
      </c>
      <c r="E19" t="s">
        <v>34</v>
      </c>
    </row>
    <row r="20" spans="1:5" x14ac:dyDescent="0.35">
      <c r="A20" t="s">
        <v>70</v>
      </c>
      <c r="B20" s="3" t="s">
        <v>71</v>
      </c>
      <c r="C20" t="str">
        <f t="shared" si="0"/>
        <v>ENGINE_15</v>
      </c>
      <c r="D20" t="s">
        <v>14</v>
      </c>
      <c r="E20" t="s">
        <v>34</v>
      </c>
    </row>
    <row r="21" spans="1:5" x14ac:dyDescent="0.35">
      <c r="A21" t="s">
        <v>72</v>
      </c>
      <c r="B21" s="3" t="s">
        <v>73</v>
      </c>
      <c r="C21" t="str">
        <f t="shared" si="0"/>
        <v>OPEX-EXIMP</v>
      </c>
      <c r="D21" t="s">
        <v>15</v>
      </c>
      <c r="E21" t="s">
        <v>34</v>
      </c>
    </row>
    <row r="22" spans="1:5" x14ac:dyDescent="0.35">
      <c r="A22" t="s">
        <v>74</v>
      </c>
      <c r="B22" s="3" t="s">
        <v>75</v>
      </c>
      <c r="C22" t="str">
        <f t="shared" si="0"/>
        <v>FIN-ADM</v>
      </c>
      <c r="D22" t="s">
        <v>16</v>
      </c>
      <c r="E22" t="s">
        <v>34</v>
      </c>
    </row>
    <row r="23" spans="1:5" x14ac:dyDescent="0.35">
      <c r="A23" t="s">
        <v>76</v>
      </c>
      <c r="B23" s="3" t="s">
        <v>77</v>
      </c>
      <c r="C23" t="str">
        <f t="shared" si="0"/>
        <v>GAD-ADM</v>
      </c>
      <c r="D23" t="s">
        <v>17</v>
      </c>
      <c r="E23" t="s">
        <v>34</v>
      </c>
    </row>
    <row r="24" spans="1:5" x14ac:dyDescent="0.35">
      <c r="A24" t="s">
        <v>78</v>
      </c>
      <c r="B24" s="3" t="s">
        <v>79</v>
      </c>
      <c r="C24" t="str">
        <f t="shared" si="0"/>
        <v>HRD-ADM</v>
      </c>
      <c r="D24" t="s">
        <v>18</v>
      </c>
      <c r="E24" t="s">
        <v>34</v>
      </c>
    </row>
    <row r="25" spans="1:5" x14ac:dyDescent="0.35">
      <c r="A25" t="s">
        <v>80</v>
      </c>
      <c r="B25" s="3" t="s">
        <v>128</v>
      </c>
      <c r="C25" t="str">
        <f t="shared" si="0"/>
        <v>OPEX-INT_A</v>
      </c>
      <c r="D25" t="s">
        <v>19</v>
      </c>
      <c r="E25" t="s">
        <v>34</v>
      </c>
    </row>
    <row r="26" spans="1:5" x14ac:dyDescent="0.35">
      <c r="A26" t="s">
        <v>81</v>
      </c>
      <c r="B26" t="s">
        <v>82</v>
      </c>
      <c r="C26" t="str">
        <f t="shared" si="0"/>
        <v>KAP_15</v>
      </c>
      <c r="D26" t="s">
        <v>83</v>
      </c>
      <c r="E26" t="s">
        <v>34</v>
      </c>
    </row>
    <row r="27" spans="1:5" x14ac:dyDescent="0.35">
      <c r="A27" t="s">
        <v>84</v>
      </c>
      <c r="B27" t="s">
        <v>85</v>
      </c>
      <c r="C27" t="str">
        <f t="shared" si="0"/>
        <v>KAP2</v>
      </c>
      <c r="D27" t="s">
        <v>85</v>
      </c>
      <c r="E27" t="s">
        <v>34</v>
      </c>
    </row>
    <row r="28" spans="1:5" x14ac:dyDescent="0.35">
      <c r="A28" t="s">
        <v>86</v>
      </c>
      <c r="B28" s="3" t="s">
        <v>133</v>
      </c>
      <c r="C28" t="str">
        <f t="shared" si="0"/>
        <v>OPEX-MPP</v>
      </c>
      <c r="D28" t="s">
        <v>20</v>
      </c>
      <c r="E28" t="s">
        <v>34</v>
      </c>
    </row>
    <row r="29" spans="1:5" x14ac:dyDescent="0.35">
      <c r="A29" t="s">
        <v>87</v>
      </c>
      <c r="B29" t="s">
        <v>88</v>
      </c>
      <c r="C29" t="str">
        <f t="shared" si="0"/>
        <v>PRJCT-ADM</v>
      </c>
      <c r="D29" t="s">
        <v>89</v>
      </c>
      <c r="E29" t="s">
        <v>34</v>
      </c>
    </row>
    <row r="30" spans="1:5" x14ac:dyDescent="0.35">
      <c r="A30" t="s">
        <v>90</v>
      </c>
      <c r="B30" s="3" t="s">
        <v>125</v>
      </c>
      <c r="C30" t="str">
        <f t="shared" si="0"/>
        <v>PAINT1</v>
      </c>
      <c r="D30" t="s">
        <v>91</v>
      </c>
      <c r="E30" t="s">
        <v>34</v>
      </c>
    </row>
    <row r="31" spans="1:5" x14ac:dyDescent="0.35">
      <c r="A31" t="s">
        <v>92</v>
      </c>
      <c r="B31" s="3" t="s">
        <v>125</v>
      </c>
      <c r="C31" t="str">
        <f t="shared" si="0"/>
        <v>PAINT2</v>
      </c>
      <c r="D31" t="s">
        <v>93</v>
      </c>
      <c r="E31" t="s">
        <v>34</v>
      </c>
    </row>
    <row r="32" spans="1:5" x14ac:dyDescent="0.35">
      <c r="A32" t="s">
        <v>94</v>
      </c>
      <c r="B32" s="3" t="s">
        <v>124</v>
      </c>
      <c r="C32" t="str">
        <f t="shared" si="0"/>
        <v>PRESS_15</v>
      </c>
      <c r="D32" t="s">
        <v>95</v>
      </c>
      <c r="E32" t="s">
        <v>34</v>
      </c>
    </row>
    <row r="33" spans="1:5" x14ac:dyDescent="0.35">
      <c r="A33" t="s">
        <v>96</v>
      </c>
      <c r="B33" s="3" t="s">
        <v>97</v>
      </c>
      <c r="C33" t="str">
        <f t="shared" si="0"/>
        <v>OPEX-PURCH</v>
      </c>
      <c r="D33" t="s">
        <v>23</v>
      </c>
      <c r="E33" t="s">
        <v>34</v>
      </c>
    </row>
    <row r="34" spans="1:5" x14ac:dyDescent="0.35">
      <c r="A34" t="s">
        <v>98</v>
      </c>
      <c r="B34" s="3" t="s">
        <v>126</v>
      </c>
      <c r="C34" t="str">
        <f t="shared" si="0"/>
        <v>RND-ADM</v>
      </c>
      <c r="D34" t="s">
        <v>12</v>
      </c>
      <c r="E34" t="s">
        <v>34</v>
      </c>
    </row>
    <row r="35" spans="1:5" x14ac:dyDescent="0.35">
      <c r="A35" t="s">
        <v>99</v>
      </c>
      <c r="B35" s="3" t="s">
        <v>125</v>
      </c>
      <c r="C35" t="str">
        <f t="shared" si="0"/>
        <v>MTNSPA</v>
      </c>
      <c r="D35" t="s">
        <v>100</v>
      </c>
      <c r="E35" t="s">
        <v>34</v>
      </c>
    </row>
    <row r="36" spans="1:5" x14ac:dyDescent="0.35">
      <c r="A36" t="s">
        <v>101</v>
      </c>
      <c r="B36" s="3" t="s">
        <v>124</v>
      </c>
      <c r="C36" t="str">
        <f t="shared" si="0"/>
        <v>MTNSPB</v>
      </c>
      <c r="D36" t="s">
        <v>102</v>
      </c>
      <c r="E36" t="s">
        <v>34</v>
      </c>
    </row>
    <row r="37" spans="1:5" x14ac:dyDescent="0.35">
      <c r="A37" t="s">
        <v>103</v>
      </c>
      <c r="B37" s="3" t="s">
        <v>104</v>
      </c>
      <c r="C37" t="str">
        <f t="shared" si="0"/>
        <v>PPC_LOGIST</v>
      </c>
      <c r="D37" t="s">
        <v>105</v>
      </c>
      <c r="E37" t="s">
        <v>34</v>
      </c>
    </row>
    <row r="38" spans="1:5" x14ac:dyDescent="0.35">
      <c r="A38" t="s">
        <v>106</v>
      </c>
      <c r="B38" s="3" t="s">
        <v>107</v>
      </c>
      <c r="C38" t="str">
        <f t="shared" si="0"/>
        <v>PCL</v>
      </c>
      <c r="D38" t="s">
        <v>21</v>
      </c>
      <c r="E38" t="s">
        <v>34</v>
      </c>
    </row>
    <row r="39" spans="1:5" x14ac:dyDescent="0.35">
      <c r="A39" t="s">
        <v>108</v>
      </c>
      <c r="B39" s="3" t="s">
        <v>109</v>
      </c>
      <c r="C39" t="str">
        <f t="shared" si="0"/>
        <v>PE-ADM</v>
      </c>
      <c r="D39" t="s">
        <v>22</v>
      </c>
      <c r="E39" t="s">
        <v>34</v>
      </c>
    </row>
    <row r="40" spans="1:5" x14ac:dyDescent="0.35">
      <c r="A40" t="s">
        <v>110</v>
      </c>
      <c r="B40" s="3" t="s">
        <v>111</v>
      </c>
      <c r="C40" t="str">
        <f t="shared" si="0"/>
        <v>Q_CTRL</v>
      </c>
      <c r="D40" t="s">
        <v>25</v>
      </c>
      <c r="E40" t="s">
        <v>34</v>
      </c>
    </row>
    <row r="41" spans="1:5" x14ac:dyDescent="0.35">
      <c r="A41" t="s">
        <v>112</v>
      </c>
      <c r="B41" s="3" t="s">
        <v>113</v>
      </c>
      <c r="C41" t="str">
        <f t="shared" si="0"/>
        <v>QA_ALL</v>
      </c>
      <c r="D41" t="s">
        <v>24</v>
      </c>
      <c r="E41" t="s">
        <v>34</v>
      </c>
    </row>
    <row r="42" spans="1:5" x14ac:dyDescent="0.35">
      <c r="A42" t="s">
        <v>114</v>
      </c>
      <c r="B42" s="3" t="s">
        <v>115</v>
      </c>
      <c r="C42" t="str">
        <f t="shared" si="0"/>
        <v>SPD</v>
      </c>
      <c r="D42" t="s">
        <v>26</v>
      </c>
      <c r="E42" t="s">
        <v>34</v>
      </c>
    </row>
    <row r="43" spans="1:5" x14ac:dyDescent="0.35">
      <c r="A43" t="s">
        <v>116</v>
      </c>
      <c r="B43" s="3" t="s">
        <v>117</v>
      </c>
      <c r="C43" t="str">
        <f t="shared" si="0"/>
        <v>OPEX-PURSN</v>
      </c>
      <c r="D43" t="s">
        <v>27</v>
      </c>
      <c r="E43" t="s">
        <v>34</v>
      </c>
    </row>
    <row r="44" spans="1:5" x14ac:dyDescent="0.35">
      <c r="A44" t="s">
        <v>118</v>
      </c>
      <c r="B44" t="s">
        <v>119</v>
      </c>
      <c r="C44" t="str">
        <f t="shared" si="0"/>
        <v>THAI</v>
      </c>
      <c r="D44" t="s">
        <v>120</v>
      </c>
      <c r="E44" t="s">
        <v>34</v>
      </c>
    </row>
    <row r="45" spans="1:5" x14ac:dyDescent="0.35">
      <c r="A45" t="s">
        <v>121</v>
      </c>
      <c r="B45" t="s">
        <v>122</v>
      </c>
      <c r="C45" t="str">
        <f t="shared" si="0"/>
        <v>VLC</v>
      </c>
      <c r="D45" t="s">
        <v>122</v>
      </c>
      <c r="E45" t="s">
        <v>34</v>
      </c>
    </row>
    <row r="46" spans="1:5" x14ac:dyDescent="0.35">
      <c r="B46" s="3" t="s">
        <v>129</v>
      </c>
      <c r="C46" s="8" t="s">
        <v>135</v>
      </c>
      <c r="D46" s="8" t="s">
        <v>135</v>
      </c>
      <c r="E46" t="s">
        <v>34</v>
      </c>
    </row>
    <row r="47" spans="1:5" x14ac:dyDescent="0.35">
      <c r="B47" s="3" t="s">
        <v>130</v>
      </c>
      <c r="C47" s="8" t="s">
        <v>136</v>
      </c>
      <c r="D47" s="8" t="s">
        <v>136</v>
      </c>
      <c r="E47" t="s">
        <v>34</v>
      </c>
    </row>
    <row r="48" spans="1:5" x14ac:dyDescent="0.35">
      <c r="B48" s="9" t="s">
        <v>131</v>
      </c>
      <c r="C48" s="8" t="s">
        <v>137</v>
      </c>
      <c r="D48" s="8" t="s">
        <v>137</v>
      </c>
      <c r="E48" t="s">
        <v>34</v>
      </c>
    </row>
    <row r="49" spans="2:5" x14ac:dyDescent="0.35">
      <c r="B49" s="3" t="s">
        <v>132</v>
      </c>
      <c r="C49" s="8" t="s">
        <v>138</v>
      </c>
      <c r="D49" s="8" t="s">
        <v>138</v>
      </c>
      <c r="E49" t="s">
        <v>34</v>
      </c>
    </row>
  </sheetData>
  <autoFilter ref="B1:C45" xr:uid="{E94E9DE6-109E-4604-9BF5-8E8FAFC08AD6}"/>
  <sortState xmlns:xlrd2="http://schemas.microsoft.com/office/spreadsheetml/2017/richdata2" ref="A2:C45">
    <sortCondition ref="B1:B4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9490-830A-4BB8-9F36-8FECF32E9BB7}">
  <dimension ref="A2:D56"/>
  <sheetViews>
    <sheetView topLeftCell="A16" workbookViewId="0">
      <selection activeCell="A20" sqref="A20"/>
    </sheetView>
  </sheetViews>
  <sheetFormatPr defaultRowHeight="14.5" x14ac:dyDescent="0.35"/>
  <cols>
    <col min="1" max="1" width="33.453125" customWidth="1"/>
    <col min="2" max="2" width="38.453125" customWidth="1"/>
  </cols>
  <sheetData>
    <row r="2" spans="1:3" x14ac:dyDescent="0.35">
      <c r="A2" s="5" t="s">
        <v>33</v>
      </c>
      <c r="B2" s="6" t="s">
        <v>33</v>
      </c>
      <c r="C2" t="str">
        <f>VLOOKUP(B2, A:A, 1, FALSE)</f>
        <v>ACCOUNTING &amp; CONTROL</v>
      </c>
    </row>
    <row r="3" spans="1:3" x14ac:dyDescent="0.35">
      <c r="A3" s="4" t="s">
        <v>127</v>
      </c>
      <c r="B3" s="6" t="s">
        <v>36</v>
      </c>
      <c r="C3" t="str">
        <f t="shared" ref="C3:C45" si="0">VLOOKUP(B3, A:A, 1, FALSE)</f>
        <v>AFTER SALES SERVICE MANAGEMENT</v>
      </c>
    </row>
    <row r="4" spans="1:3" x14ac:dyDescent="0.35">
      <c r="A4" s="4" t="s">
        <v>36</v>
      </c>
      <c r="B4" s="6" t="s">
        <v>125</v>
      </c>
      <c r="C4" t="str">
        <f t="shared" si="0"/>
        <v>SAP PAINT &amp; ASSY</v>
      </c>
    </row>
    <row r="5" spans="1:3" x14ac:dyDescent="0.35">
      <c r="A5" s="4" t="s">
        <v>50</v>
      </c>
      <c r="B5" s="6" t="s">
        <v>125</v>
      </c>
      <c r="C5" t="str">
        <f t="shared" si="0"/>
        <v>SAP PAINT &amp; ASSY</v>
      </c>
    </row>
    <row r="6" spans="1:3" x14ac:dyDescent="0.35">
      <c r="A6" s="4" t="s">
        <v>52</v>
      </c>
      <c r="B6" s="6" t="s">
        <v>127</v>
      </c>
      <c r="C6" t="str">
        <f t="shared" si="0"/>
        <v>ADM EDUCATION CENTER</v>
      </c>
    </row>
    <row r="7" spans="1:3" x14ac:dyDescent="0.35">
      <c r="A7" s="4" t="s">
        <v>7</v>
      </c>
      <c r="B7" s="6" t="s">
        <v>43</v>
      </c>
      <c r="C7" t="e">
        <f t="shared" si="0"/>
        <v>#N/A</v>
      </c>
    </row>
    <row r="8" spans="1:3" x14ac:dyDescent="0.35">
      <c r="A8" s="4" t="s">
        <v>55</v>
      </c>
      <c r="B8" s="6" t="s">
        <v>124</v>
      </c>
      <c r="C8" t="str">
        <f t="shared" si="0"/>
        <v>SAP PRESS &amp; BODY</v>
      </c>
    </row>
    <row r="9" spans="1:3" x14ac:dyDescent="0.35">
      <c r="A9" s="4" t="s">
        <v>57</v>
      </c>
      <c r="B9" s="6" t="s">
        <v>124</v>
      </c>
      <c r="C9" t="str">
        <f t="shared" si="0"/>
        <v>SAP PRESS &amp; BODY</v>
      </c>
    </row>
    <row r="10" spans="1:3" x14ac:dyDescent="0.35">
      <c r="A10" s="4" t="s">
        <v>59</v>
      </c>
      <c r="B10" s="6" t="s">
        <v>50</v>
      </c>
      <c r="C10" t="str">
        <f t="shared" si="0"/>
        <v>BUSINESS OPERATION</v>
      </c>
    </row>
    <row r="11" spans="1:3" x14ac:dyDescent="0.35">
      <c r="A11" s="4" t="s">
        <v>61</v>
      </c>
      <c r="B11" s="6" t="s">
        <v>52</v>
      </c>
      <c r="C11" t="str">
        <f t="shared" si="0"/>
        <v>CASTING</v>
      </c>
    </row>
    <row r="12" spans="1:3" x14ac:dyDescent="0.35">
      <c r="A12" s="4" t="s">
        <v>66</v>
      </c>
      <c r="B12" s="6" t="s">
        <v>7</v>
      </c>
      <c r="C12" t="str">
        <f t="shared" si="0"/>
        <v>COMPLIANCE</v>
      </c>
    </row>
    <row r="13" spans="1:3" x14ac:dyDescent="0.35">
      <c r="A13" s="4" t="s">
        <v>71</v>
      </c>
      <c r="B13" s="6" t="s">
        <v>55</v>
      </c>
      <c r="C13" t="str">
        <f t="shared" si="0"/>
        <v>CORPORATE COMMUNICATION</v>
      </c>
    </row>
    <row r="14" spans="1:3" x14ac:dyDescent="0.35">
      <c r="A14" s="4" t="s">
        <v>73</v>
      </c>
      <c r="B14" s="6" t="s">
        <v>57</v>
      </c>
      <c r="C14" t="str">
        <f t="shared" si="0"/>
        <v>CORPORATE INFORMATION TECHNOLOGY</v>
      </c>
    </row>
    <row r="15" spans="1:3" x14ac:dyDescent="0.35">
      <c r="A15" s="4" t="s">
        <v>75</v>
      </c>
      <c r="B15" s="6" t="s">
        <v>59</v>
      </c>
      <c r="C15" t="str">
        <f t="shared" si="0"/>
        <v>CORPORATE PLANNING</v>
      </c>
    </row>
    <row r="16" spans="1:3" x14ac:dyDescent="0.35">
      <c r="A16" s="4" t="s">
        <v>77</v>
      </c>
      <c r="B16" s="6" t="s">
        <v>61</v>
      </c>
      <c r="C16" t="str">
        <f t="shared" si="0"/>
        <v>CORPORATE SUSTAINIBILITY</v>
      </c>
    </row>
    <row r="17" spans="1:3" x14ac:dyDescent="0.35">
      <c r="A17" s="4" t="s">
        <v>79</v>
      </c>
      <c r="B17" s="6" t="s">
        <v>63</v>
      </c>
      <c r="C17" t="e">
        <f t="shared" si="0"/>
        <v>#N/A</v>
      </c>
    </row>
    <row r="18" spans="1:3" x14ac:dyDescent="0.35">
      <c r="A18" s="4" t="s">
        <v>128</v>
      </c>
      <c r="B18" s="6" t="s">
        <v>66</v>
      </c>
      <c r="C18" t="str">
        <f t="shared" si="0"/>
        <v>DOMESTIC MARKETING</v>
      </c>
    </row>
    <row r="19" spans="1:3" x14ac:dyDescent="0.35">
      <c r="A19" s="4" t="s">
        <v>129</v>
      </c>
      <c r="B19" s="6" t="s">
        <v>68</v>
      </c>
      <c r="C19" t="e">
        <f t="shared" si="0"/>
        <v>#N/A</v>
      </c>
    </row>
    <row r="20" spans="1:3" x14ac:dyDescent="0.35">
      <c r="A20" s="4" t="s">
        <v>130</v>
      </c>
      <c r="B20" s="6" t="s">
        <v>71</v>
      </c>
      <c r="C20" t="str">
        <f t="shared" si="0"/>
        <v>ENGINE</v>
      </c>
    </row>
    <row r="21" spans="1:3" x14ac:dyDescent="0.35">
      <c r="A21" s="4" t="s">
        <v>131</v>
      </c>
      <c r="B21" s="6" t="s">
        <v>73</v>
      </c>
      <c r="C21" t="str">
        <f t="shared" si="0"/>
        <v>EXPORT IMPORT</v>
      </c>
    </row>
    <row r="22" spans="1:3" x14ac:dyDescent="0.35">
      <c r="A22" s="4" t="s">
        <v>132</v>
      </c>
      <c r="B22" s="6" t="s">
        <v>75</v>
      </c>
      <c r="C22" t="str">
        <f t="shared" si="0"/>
        <v>FINANCE</v>
      </c>
    </row>
    <row r="23" spans="1:3" x14ac:dyDescent="0.35">
      <c r="A23" s="4" t="s">
        <v>133</v>
      </c>
      <c r="B23" s="6" t="s">
        <v>77</v>
      </c>
      <c r="C23" t="str">
        <f t="shared" si="0"/>
        <v>GENERAL AFFAIR</v>
      </c>
    </row>
    <row r="24" spans="1:3" x14ac:dyDescent="0.35">
      <c r="A24" s="4" t="s">
        <v>97</v>
      </c>
      <c r="B24" s="6" t="s">
        <v>79</v>
      </c>
      <c r="C24" t="str">
        <f t="shared" si="0"/>
        <v>HUMAN RESOURCES</v>
      </c>
    </row>
    <row r="25" spans="1:3" x14ac:dyDescent="0.35">
      <c r="A25" s="4" t="s">
        <v>126</v>
      </c>
      <c r="B25" s="6" t="s">
        <v>128</v>
      </c>
      <c r="C25" t="str">
        <f t="shared" si="0"/>
        <v>INTERNAL AUDIT &amp; RISK MANAGEMENT</v>
      </c>
    </row>
    <row r="26" spans="1:3" x14ac:dyDescent="0.35">
      <c r="A26" s="4" t="s">
        <v>125</v>
      </c>
      <c r="B26" s="6" t="s">
        <v>82</v>
      </c>
      <c r="C26" t="e">
        <f t="shared" si="0"/>
        <v>#N/A</v>
      </c>
    </row>
    <row r="27" spans="1:3" x14ac:dyDescent="0.35">
      <c r="A27" s="4" t="s">
        <v>134</v>
      </c>
      <c r="B27" s="6" t="s">
        <v>85</v>
      </c>
      <c r="C27" t="e">
        <f t="shared" si="0"/>
        <v>#N/A</v>
      </c>
    </row>
    <row r="28" spans="1:3" x14ac:dyDescent="0.35">
      <c r="A28" s="4" t="s">
        <v>124</v>
      </c>
      <c r="B28" s="6" t="s">
        <v>133</v>
      </c>
      <c r="C28" t="str">
        <f t="shared" si="0"/>
        <v>MARKETING &amp; PRODUCT PLANNING</v>
      </c>
    </row>
    <row r="29" spans="1:3" x14ac:dyDescent="0.35">
      <c r="A29" s="4" t="s">
        <v>107</v>
      </c>
      <c r="B29" s="6" t="s">
        <v>88</v>
      </c>
      <c r="C29" t="e">
        <f t="shared" si="0"/>
        <v>#N/A</v>
      </c>
    </row>
    <row r="30" spans="1:3" x14ac:dyDescent="0.35">
      <c r="A30" s="4" t="s">
        <v>109</v>
      </c>
      <c r="B30" s="6" t="s">
        <v>125</v>
      </c>
      <c r="C30" t="str">
        <f t="shared" si="0"/>
        <v>SAP PAINT &amp; ASSY</v>
      </c>
    </row>
    <row r="31" spans="1:3" x14ac:dyDescent="0.35">
      <c r="A31" s="4" t="s">
        <v>111</v>
      </c>
      <c r="B31" s="6" t="s">
        <v>125</v>
      </c>
      <c r="C31" t="str">
        <f t="shared" si="0"/>
        <v>SAP PAINT &amp; ASSY</v>
      </c>
    </row>
    <row r="32" spans="1:3" x14ac:dyDescent="0.35">
      <c r="A32" s="4" t="s">
        <v>113</v>
      </c>
      <c r="B32" s="6" t="s">
        <v>124</v>
      </c>
      <c r="C32" t="str">
        <f t="shared" si="0"/>
        <v>SAP PRESS &amp; BODY</v>
      </c>
    </row>
    <row r="33" spans="1:4" x14ac:dyDescent="0.35">
      <c r="A33" s="4" t="s">
        <v>115</v>
      </c>
      <c r="B33" s="6" t="s">
        <v>97</v>
      </c>
      <c r="C33" t="str">
        <f t="shared" si="0"/>
        <v>PURCHASING</v>
      </c>
    </row>
    <row r="34" spans="1:4" x14ac:dyDescent="0.35">
      <c r="A34" s="4" t="s">
        <v>117</v>
      </c>
      <c r="B34" s="6" t="s">
        <v>126</v>
      </c>
      <c r="C34" t="str">
        <f t="shared" si="0"/>
        <v>R&amp;D</v>
      </c>
    </row>
    <row r="35" spans="1:4" x14ac:dyDescent="0.35">
      <c r="B35" s="6" t="s">
        <v>125</v>
      </c>
      <c r="C35" t="str">
        <f t="shared" si="0"/>
        <v>SAP PAINT &amp; ASSY</v>
      </c>
    </row>
    <row r="36" spans="1:4" x14ac:dyDescent="0.35">
      <c r="B36" s="6" t="s">
        <v>124</v>
      </c>
      <c r="C36" t="str">
        <f t="shared" si="0"/>
        <v>SAP PRESS &amp; BODY</v>
      </c>
    </row>
    <row r="37" spans="1:4" x14ac:dyDescent="0.35">
      <c r="B37" s="6" t="s">
        <v>104</v>
      </c>
      <c r="C37" t="str" cm="1">
        <f t="array" ref="C37">VLOOKUP(B37, TRIM(A:A), 1, FALSE)</f>
        <v>SAP PLANT ADMINISTRATION</v>
      </c>
    </row>
    <row r="38" spans="1:4" x14ac:dyDescent="0.35">
      <c r="B38" s="6" t="s">
        <v>107</v>
      </c>
      <c r="C38" t="str">
        <f t="shared" si="0"/>
        <v>SAP PRODUCTION CONTROL</v>
      </c>
    </row>
    <row r="39" spans="1:4" x14ac:dyDescent="0.35">
      <c r="B39" s="6" t="s">
        <v>109</v>
      </c>
      <c r="C39" t="str">
        <f t="shared" si="0"/>
        <v>SAP PRODUCTION ENGINEERING</v>
      </c>
    </row>
    <row r="40" spans="1:4" x14ac:dyDescent="0.35">
      <c r="B40" s="6" t="s">
        <v>111</v>
      </c>
      <c r="C40" t="str">
        <f t="shared" si="0"/>
        <v>SAP QUALITY</v>
      </c>
    </row>
    <row r="41" spans="1:4" x14ac:dyDescent="0.35">
      <c r="B41" s="6" t="s">
        <v>113</v>
      </c>
      <c r="C41" t="str">
        <f t="shared" si="0"/>
        <v>SAP QUALITY ASSURANCE</v>
      </c>
    </row>
    <row r="42" spans="1:4" x14ac:dyDescent="0.35">
      <c r="B42" s="6" t="s">
        <v>115</v>
      </c>
      <c r="C42" t="str">
        <f t="shared" si="0"/>
        <v>SERVICE PARTS</v>
      </c>
    </row>
    <row r="43" spans="1:4" x14ac:dyDescent="0.35">
      <c r="B43" s="6" t="s">
        <v>117</v>
      </c>
      <c r="C43" t="str">
        <f t="shared" si="0"/>
        <v>SUPPLIER NETWORK</v>
      </c>
    </row>
    <row r="44" spans="1:4" x14ac:dyDescent="0.35">
      <c r="B44" t="s">
        <v>119</v>
      </c>
      <c r="C44" t="e">
        <f t="shared" si="0"/>
        <v>#N/A</v>
      </c>
    </row>
    <row r="45" spans="1:4" x14ac:dyDescent="0.35">
      <c r="B45" t="s">
        <v>122</v>
      </c>
      <c r="C45" t="e">
        <f t="shared" si="0"/>
        <v>#N/A</v>
      </c>
    </row>
    <row r="47" spans="1:4" x14ac:dyDescent="0.35">
      <c r="A47" s="2" t="s">
        <v>1</v>
      </c>
      <c r="B47" s="2"/>
      <c r="C47" s="2" t="s">
        <v>0</v>
      </c>
      <c r="D47" t="s">
        <v>123</v>
      </c>
    </row>
    <row r="48" spans="1:4" x14ac:dyDescent="0.35">
      <c r="A48" s="7" t="s">
        <v>124</v>
      </c>
      <c r="C48" t="s">
        <v>46</v>
      </c>
      <c r="D48" t="s">
        <v>123</v>
      </c>
    </row>
    <row r="49" spans="1:4" x14ac:dyDescent="0.35">
      <c r="A49" s="7"/>
      <c r="C49" t="s">
        <v>48</v>
      </c>
      <c r="D49" t="s">
        <v>123</v>
      </c>
    </row>
    <row r="50" spans="1:4" x14ac:dyDescent="0.35">
      <c r="A50" s="7"/>
      <c r="C50" t="s">
        <v>95</v>
      </c>
      <c r="D50" t="s">
        <v>123</v>
      </c>
    </row>
    <row r="51" spans="1:4" x14ac:dyDescent="0.35">
      <c r="A51" s="7"/>
      <c r="C51" t="s">
        <v>102</v>
      </c>
      <c r="D51" t="s">
        <v>123</v>
      </c>
    </row>
    <row r="52" spans="1:4" x14ac:dyDescent="0.35">
      <c r="A52" s="7" t="s">
        <v>125</v>
      </c>
      <c r="C52" t="s">
        <v>91</v>
      </c>
      <c r="D52" t="s">
        <v>123</v>
      </c>
    </row>
    <row r="53" spans="1:4" x14ac:dyDescent="0.35">
      <c r="A53" s="7"/>
      <c r="C53" t="s">
        <v>93</v>
      </c>
      <c r="D53" t="s">
        <v>123</v>
      </c>
    </row>
    <row r="54" spans="1:4" x14ac:dyDescent="0.35">
      <c r="A54" s="7"/>
      <c r="C54" t="s">
        <v>38</v>
      </c>
      <c r="D54" t="s">
        <v>123</v>
      </c>
    </row>
    <row r="55" spans="1:4" x14ac:dyDescent="0.35">
      <c r="A55" s="7"/>
      <c r="C55" t="s">
        <v>40</v>
      </c>
      <c r="D55" t="s">
        <v>123</v>
      </c>
    </row>
    <row r="56" spans="1:4" x14ac:dyDescent="0.35">
      <c r="A56" s="7"/>
      <c r="C56" t="s">
        <v>100</v>
      </c>
      <c r="D56" t="s">
        <v>123</v>
      </c>
    </row>
  </sheetData>
  <mergeCells count="2">
    <mergeCell ref="A48:A51"/>
    <mergeCell ref="A52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DIVGROUP15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Jasmine Kezia Halim</dc:creator>
  <cp:keywords/>
  <dc:description/>
  <cp:lastModifiedBy>Internship Bren</cp:lastModifiedBy>
  <cp:revision/>
  <dcterms:created xsi:type="dcterms:W3CDTF">2025-08-29T02:16:09Z</dcterms:created>
  <dcterms:modified xsi:type="dcterms:W3CDTF">2026-06-09T06:41:13Z</dcterms:modified>
  <cp:category/>
  <cp:contentStatus/>
</cp:coreProperties>
</file>